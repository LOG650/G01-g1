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ik_\Dropbox\PhD\Work duties\029 LOG650 2026\Genererte data\"/>
    </mc:Choice>
  </mc:AlternateContent>
  <xr:revisionPtr revIDLastSave="0" documentId="13_ncr:1_{09FDC66D-13C0-4CC9-B67E-6C3FEB02184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7" i="1"/>
  <c r="D18" i="1"/>
  <c r="D19" i="1"/>
  <c r="D20" i="1"/>
  <c r="D21" i="1"/>
  <c r="D22" i="1"/>
  <c r="D16" i="1"/>
  <c r="C23" i="1"/>
  <c r="I18" i="1"/>
  <c r="I19" i="1"/>
  <c r="I20" i="1"/>
  <c r="I5" i="1"/>
  <c r="J5" i="1"/>
  <c r="J18" i="1" s="1"/>
  <c r="K5" i="1"/>
  <c r="K18" i="1" s="1"/>
  <c r="L5" i="1"/>
  <c r="L18" i="1" s="1"/>
  <c r="M5" i="1"/>
  <c r="M18" i="1" s="1"/>
  <c r="N5" i="1"/>
  <c r="N18" i="1" s="1"/>
  <c r="O5" i="1"/>
  <c r="O18" i="1" s="1"/>
  <c r="P5" i="1"/>
  <c r="P18" i="1" s="1"/>
  <c r="I6" i="1"/>
  <c r="J6" i="1"/>
  <c r="J19" i="1" s="1"/>
  <c r="K6" i="1"/>
  <c r="K19" i="1" s="1"/>
  <c r="L6" i="1"/>
  <c r="L19" i="1" s="1"/>
  <c r="M6" i="1"/>
  <c r="M19" i="1" s="1"/>
  <c r="N6" i="1"/>
  <c r="N19" i="1" s="1"/>
  <c r="O6" i="1"/>
  <c r="O19" i="1" s="1"/>
  <c r="P6" i="1"/>
  <c r="P19" i="1" s="1"/>
  <c r="I7" i="1"/>
  <c r="J7" i="1"/>
  <c r="J20" i="1" s="1"/>
  <c r="K7" i="1"/>
  <c r="K20" i="1" s="1"/>
  <c r="L7" i="1"/>
  <c r="L20" i="1" s="1"/>
  <c r="M7" i="1"/>
  <c r="M20" i="1" s="1"/>
  <c r="N7" i="1"/>
  <c r="N20" i="1" s="1"/>
  <c r="O7" i="1"/>
  <c r="O20" i="1" s="1"/>
  <c r="P7" i="1"/>
  <c r="P20" i="1" s="1"/>
  <c r="I8" i="1"/>
  <c r="I21" i="1" s="1"/>
  <c r="J8" i="1"/>
  <c r="J21" i="1" s="1"/>
  <c r="K8" i="1"/>
  <c r="K21" i="1" s="1"/>
  <c r="L8" i="1"/>
  <c r="L21" i="1" s="1"/>
  <c r="M8" i="1"/>
  <c r="M21" i="1" s="1"/>
  <c r="N8" i="1"/>
  <c r="N21" i="1" s="1"/>
  <c r="O8" i="1"/>
  <c r="O21" i="1" s="1"/>
  <c r="P8" i="1"/>
  <c r="P21" i="1" s="1"/>
  <c r="I9" i="1"/>
  <c r="I22" i="1" s="1"/>
  <c r="J9" i="1"/>
  <c r="J22" i="1" s="1"/>
  <c r="K9" i="1"/>
  <c r="K22" i="1" s="1"/>
  <c r="L9" i="1"/>
  <c r="L22" i="1" s="1"/>
  <c r="M9" i="1"/>
  <c r="M22" i="1" s="1"/>
  <c r="N9" i="1"/>
  <c r="N22" i="1" s="1"/>
  <c r="O9" i="1"/>
  <c r="O22" i="1" s="1"/>
  <c r="P9" i="1"/>
  <c r="P22" i="1" s="1"/>
  <c r="I10" i="1"/>
  <c r="I23" i="1" s="1"/>
  <c r="J10" i="1"/>
  <c r="J23" i="1" s="1"/>
  <c r="K10" i="1"/>
  <c r="K23" i="1" s="1"/>
  <c r="L10" i="1"/>
  <c r="L23" i="1" s="1"/>
  <c r="M10" i="1"/>
  <c r="M23" i="1" s="1"/>
  <c r="N10" i="1"/>
  <c r="N23" i="1" s="1"/>
  <c r="O10" i="1"/>
  <c r="O23" i="1" s="1"/>
  <c r="P10" i="1"/>
  <c r="P23" i="1" s="1"/>
  <c r="I11" i="1"/>
  <c r="I24" i="1" s="1"/>
  <c r="J11" i="1"/>
  <c r="J24" i="1" s="1"/>
  <c r="K11" i="1"/>
  <c r="K24" i="1" s="1"/>
  <c r="L11" i="1"/>
  <c r="L24" i="1" s="1"/>
  <c r="M11" i="1"/>
  <c r="M24" i="1" s="1"/>
  <c r="N11" i="1"/>
  <c r="N24" i="1" s="1"/>
  <c r="O11" i="1"/>
  <c r="O24" i="1" s="1"/>
  <c r="P11" i="1"/>
  <c r="P24" i="1" s="1"/>
  <c r="I4" i="1"/>
  <c r="I17" i="1" s="1"/>
  <c r="P4" i="1"/>
  <c r="P17" i="1" s="1"/>
  <c r="O4" i="1"/>
  <c r="O17" i="1" s="1"/>
  <c r="N4" i="1"/>
  <c r="N17" i="1" s="1"/>
  <c r="M4" i="1"/>
  <c r="M17" i="1" s="1"/>
  <c r="L4" i="1"/>
  <c r="L17" i="1" s="1"/>
  <c r="K4" i="1"/>
  <c r="K17" i="1" s="1"/>
  <c r="J4" i="1"/>
  <c r="J17" i="1" s="1"/>
</calcChain>
</file>

<file path=xl/sharedStrings.xml><?xml version="1.0" encoding="utf-8"?>
<sst xmlns="http://schemas.openxmlformats.org/spreadsheetml/2006/main" count="20" uniqueCount="14">
  <si>
    <t>G01 genererte data</t>
  </si>
  <si>
    <t>Node</t>
  </si>
  <si>
    <t>x-koordinat</t>
  </si>
  <si>
    <t>y-koordinat</t>
  </si>
  <si>
    <t>Posisjonsdata</t>
  </si>
  <si>
    <t>Etterspørsel</t>
  </si>
  <si>
    <t>Tidsvindu start</t>
  </si>
  <si>
    <t>Tidsvindu slutt</t>
  </si>
  <si>
    <t>Tidsmatrise (minutt)</t>
  </si>
  <si>
    <t>Kapasitet på bil</t>
  </si>
  <si>
    <t>Sum</t>
  </si>
  <si>
    <t>Avstandsmatrise (kilometer)</t>
  </si>
  <si>
    <t>Lastetid (minutt)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</si>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</sst>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0" borderId="0" xfId="0" applyFont="1"/>
    <xf numFmtId="0" fontId="0" fillId="0" borderId="9" xfId="0" applyBorder="1"/>
    <xf numFmtId="0" fontId="0" fillId="0" borderId="10" xfId="0" applyBorder="1"/>
    <xf numFmtId="168" fontId="0" fillId="0" borderId="5" xfId="0" applyNumberFormat="1" applyBorder="1"/>
    <xf numFmtId="168" fontId="0" fillId="0" borderId="8" xfId="0" applyNumberFormat="1" applyBorder="1"/>
    <xf numFmtId="168" fontId="0" fillId="0" borderId="4" xfId="0" applyNumberFormat="1" applyBorder="1"/>
    <xf numFmtId="168" fontId="0" fillId="0" borderId="3" xfId="0" applyNumberFormat="1" applyBorder="1"/>
    <xf numFmtId="168" fontId="0" fillId="0" borderId="0" xfId="0" applyNumberFormat="1" applyBorder="1"/>
    <xf numFmtId="168" fontId="0" fillId="0" borderId="7" xfId="0" applyNumberFormat="1" applyBorder="1"/>
    <xf numFmtId="168" fontId="0" fillId="0" borderId="2" xfId="0" applyNumberForma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5"/>
  <sheetViews>
    <sheetView tabSelected="1" workbookViewId="0">
      <selection activeCell="S12" sqref="S12"/>
    </sheetView>
  </sheetViews>
  <sheetFormatPr defaultRowHeight="14.4" x14ac:dyDescent="0.3"/>
  <cols>
    <col min="1" max="1" width="3.88671875" customWidth="1"/>
    <col min="3" max="3" width="13.44140625" bestFit="1" customWidth="1"/>
    <col min="4" max="4" width="14.44140625" bestFit="1" customWidth="1"/>
    <col min="5" max="5" width="12.5546875" bestFit="1" customWidth="1"/>
    <col min="6" max="6" width="12.5546875" customWidth="1"/>
    <col min="14" max="15" width="10.44140625" bestFit="1" customWidth="1"/>
  </cols>
  <sheetData>
    <row r="1" spans="2:18" x14ac:dyDescent="0.3">
      <c r="B1" s="1" t="s">
        <v>0</v>
      </c>
    </row>
    <row r="2" spans="2:18" x14ac:dyDescent="0.3">
      <c r="H2" s="1" t="s">
        <v>11</v>
      </c>
    </row>
    <row r="3" spans="2:18" ht="15" thickBot="1" x14ac:dyDescent="0.35">
      <c r="B3" s="1" t="s">
        <v>4</v>
      </c>
      <c r="I3">
        <v>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 t="s">
        <v>2</v>
      </c>
      <c r="R3" t="s">
        <v>3</v>
      </c>
    </row>
    <row r="4" spans="2:18" ht="15" thickBot="1" x14ac:dyDescent="0.35">
      <c r="B4" t="s">
        <v>1</v>
      </c>
      <c r="C4" t="s">
        <v>2</v>
      </c>
      <c r="D4" t="s">
        <v>3</v>
      </c>
      <c r="H4">
        <v>0</v>
      </c>
      <c r="I4" s="2">
        <f>SQRT((I$12-$Q4)^2 + (I$13-$R4)^2)</f>
        <v>0</v>
      </c>
      <c r="J4" s="20">
        <f>SQRT((J$12-$Q4)^2 + (J$13-$R4)^2)</f>
        <v>65.459911396212561</v>
      </c>
      <c r="K4" s="20">
        <f>SQRT((K$12-$Q4)^2 + (K$13-$R4)^2)</f>
        <v>64.195015382816138</v>
      </c>
      <c r="L4" s="20">
        <f>SQRT((L$12-$Q4)^2 + (L$13-$R4)^2)</f>
        <v>74.168726563154635</v>
      </c>
      <c r="M4" s="20">
        <f>SQRT((M$12-$Q4)^2 + (M$13-$R4)^2)</f>
        <v>60.016664352494629</v>
      </c>
      <c r="N4" s="20">
        <f>SQRT((N$12-$Q4)^2 + (N$13-$R4)^2)</f>
        <v>58.694122363316758</v>
      </c>
      <c r="O4" s="20">
        <f>SQRT((O$12-$Q4)^2 + (O$13-$R4)^2)</f>
        <v>25.942243542145693</v>
      </c>
      <c r="P4" s="21">
        <f>SQRT((P$12-$Q4)^2 + (P$13-$R4)^2)</f>
        <v>71.168813394632338</v>
      </c>
      <c r="Q4">
        <v>75</v>
      </c>
      <c r="R4">
        <v>19</v>
      </c>
    </row>
    <row r="5" spans="2:18" x14ac:dyDescent="0.3">
      <c r="B5">
        <v>0</v>
      </c>
      <c r="C5" s="2">
        <v>75</v>
      </c>
      <c r="D5" s="3">
        <v>19</v>
      </c>
      <c r="H5">
        <v>1</v>
      </c>
      <c r="I5" s="18">
        <f>SQRT((I$12-$Q5)^2 + (I$13-$R5)^2)</f>
        <v>65.459911396212561</v>
      </c>
      <c r="J5" s="9">
        <f>SQRT((J$12-$Q5)^2 + (J$13-$R5)^2)</f>
        <v>0</v>
      </c>
      <c r="K5" s="19">
        <f>SQRT((K$12-$Q5)^2 + (K$13-$R5)^2)</f>
        <v>79.611556949980567</v>
      </c>
      <c r="L5" s="19">
        <f>SQRT((L$12-$Q5)^2 + (L$13-$R5)^2)</f>
        <v>20</v>
      </c>
      <c r="M5" s="19">
        <f>SQRT((M$12-$Q5)^2 + (M$13-$R5)^2)</f>
        <v>82.29823813423954</v>
      </c>
      <c r="N5" s="19">
        <f>SQRT((N$12-$Q5)^2 + (N$13-$R5)^2)</f>
        <v>80.062475604992386</v>
      </c>
      <c r="O5" s="19">
        <f>SQRT((O$12-$Q5)^2 + (O$13-$R5)^2)</f>
        <v>51.088159097779204</v>
      </c>
      <c r="P5" s="17">
        <f>SQRT((P$12-$Q5)^2 + (P$13-$R5)^2)</f>
        <v>42.426406871192853</v>
      </c>
      <c r="Q5">
        <v>54</v>
      </c>
      <c r="R5">
        <v>81</v>
      </c>
    </row>
    <row r="6" spans="2:18" x14ac:dyDescent="0.3">
      <c r="B6">
        <v>1</v>
      </c>
      <c r="C6" s="4">
        <v>54</v>
      </c>
      <c r="D6" s="5">
        <v>81</v>
      </c>
      <c r="H6">
        <v>2</v>
      </c>
      <c r="I6" s="18">
        <f>SQRT((I$12-$Q6)^2 + (I$13-$R6)^2)</f>
        <v>64.195015382816138</v>
      </c>
      <c r="J6" s="19">
        <f>SQRT((J$12-$Q6)^2 + (J$13-$R6)^2)</f>
        <v>79.611556949980567</v>
      </c>
      <c r="K6" s="9">
        <f>SQRT((K$12-$Q6)^2 + (K$13-$R6)^2)</f>
        <v>0</v>
      </c>
      <c r="L6" s="19">
        <f>SQRT((L$12-$Q6)^2 + (L$13-$R6)^2)</f>
        <v>98.600202839547947</v>
      </c>
      <c r="M6" s="19">
        <f>SQRT((M$12-$Q6)^2 + (M$13-$R6)^2)</f>
        <v>7.810249675906654</v>
      </c>
      <c r="N6" s="19">
        <f>SQRT((N$12-$Q6)^2 + (N$13-$R6)^2)</f>
        <v>7.2111025509279782</v>
      </c>
      <c r="O6" s="19">
        <f>SQRT((O$12-$Q6)^2 + (O$13-$R6)^2)</f>
        <v>80.993826925266347</v>
      </c>
      <c r="P6" s="17">
        <f>SQRT((P$12-$Q6)^2 + (P$13-$R6)^2)</f>
        <v>112.04463396343441</v>
      </c>
      <c r="Q6">
        <v>11</v>
      </c>
      <c r="R6">
        <v>14</v>
      </c>
    </row>
    <row r="7" spans="2:18" x14ac:dyDescent="0.3">
      <c r="B7">
        <v>2</v>
      </c>
      <c r="C7" s="4">
        <v>11</v>
      </c>
      <c r="D7" s="5">
        <v>14</v>
      </c>
      <c r="H7">
        <v>3</v>
      </c>
      <c r="I7" s="18">
        <f>SQRT((I$12-$Q7)^2 + (I$13-$R7)^2)</f>
        <v>74.168726563154635</v>
      </c>
      <c r="J7" s="19">
        <f>SQRT((J$12-$Q7)^2 + (J$13-$R7)^2)</f>
        <v>20</v>
      </c>
      <c r="K7" s="19">
        <f>SQRT((K$12-$Q7)^2 + (K$13-$R7)^2)</f>
        <v>98.600202839547947</v>
      </c>
      <c r="L7" s="9">
        <f>SQRT((L$12-$Q7)^2 + (L$13-$R7)^2)</f>
        <v>0</v>
      </c>
      <c r="M7" s="19">
        <f>SQRT((M$12-$Q7)^2 + (M$13-$R7)^2)</f>
        <v>100.70253224224304</v>
      </c>
      <c r="N7" s="19">
        <f>SQRT((N$12-$Q7)^2 + (N$13-$R7)^2)</f>
        <v>98.478424032881435</v>
      </c>
      <c r="O7" s="19">
        <f>SQRT((O$12-$Q7)^2 + (O$13-$R7)^2)</f>
        <v>53.758720222862451</v>
      </c>
      <c r="P7" s="17">
        <f>SQRT((P$12-$Q7)^2 + (P$13-$R7)^2)</f>
        <v>26.683328128252668</v>
      </c>
      <c r="Q7">
        <v>70</v>
      </c>
      <c r="R7">
        <v>93</v>
      </c>
    </row>
    <row r="8" spans="2:18" x14ac:dyDescent="0.3">
      <c r="B8">
        <v>3</v>
      </c>
      <c r="C8" s="4">
        <v>70</v>
      </c>
      <c r="D8" s="5">
        <v>93</v>
      </c>
      <c r="H8">
        <v>4</v>
      </c>
      <c r="I8" s="18">
        <f>SQRT((I$12-$Q8)^2 + (I$13-$R8)^2)</f>
        <v>60.016664352494629</v>
      </c>
      <c r="J8" s="19">
        <f>SQRT((J$12-$Q8)^2 + (J$13-$R8)^2)</f>
        <v>82.29823813423954</v>
      </c>
      <c r="K8" s="19">
        <f>SQRT((K$12-$Q8)^2 + (K$13-$R8)^2)</f>
        <v>7.810249675906654</v>
      </c>
      <c r="L8" s="19">
        <f>SQRT((L$12-$Q8)^2 + (L$13-$R8)^2)</f>
        <v>100.70253224224304</v>
      </c>
      <c r="M8" s="9">
        <f>SQRT((M$12-$Q8)^2 + (M$13-$R8)^2)</f>
        <v>0</v>
      </c>
      <c r="N8" s="19">
        <f>SQRT((N$12-$Q8)^2 + (N$13-$R8)^2)</f>
        <v>2.2360679774997898</v>
      </c>
      <c r="O8" s="19">
        <f>SQRT((O$12-$Q8)^2 + (O$13-$R8)^2)</f>
        <v>78.721026416072604</v>
      </c>
      <c r="P8" s="17">
        <f>SQRT((P$12-$Q8)^2 + (P$13-$R8)^2)</f>
        <v>112.43220179290273</v>
      </c>
      <c r="Q8">
        <v>16</v>
      </c>
      <c r="R8">
        <v>8</v>
      </c>
    </row>
    <row r="9" spans="2:18" x14ac:dyDescent="0.3">
      <c r="B9">
        <v>4</v>
      </c>
      <c r="C9" s="4">
        <v>16</v>
      </c>
      <c r="D9" s="5">
        <v>8</v>
      </c>
      <c r="H9">
        <v>5</v>
      </c>
      <c r="I9" s="18">
        <f>SQRT((I$12-$Q9)^2 + (I$13-$R9)^2)</f>
        <v>58.694122363316758</v>
      </c>
      <c r="J9" s="19">
        <f>SQRT((J$12-$Q9)^2 + (J$13-$R9)^2)</f>
        <v>80.062475604992386</v>
      </c>
      <c r="K9" s="19">
        <f>SQRT((K$12-$Q9)^2 + (K$13-$R9)^2)</f>
        <v>7.2111025509279782</v>
      </c>
      <c r="L9" s="19">
        <f>SQRT((L$12-$Q9)^2 + (L$13-$R9)^2)</f>
        <v>98.478424032881435</v>
      </c>
      <c r="M9" s="19">
        <f>SQRT((M$12-$Q9)^2 + (M$13-$R9)^2)</f>
        <v>2.2360679774997898</v>
      </c>
      <c r="N9" s="9">
        <f>SQRT((N$12-$Q9)^2 + (N$13-$R9)^2)</f>
        <v>0</v>
      </c>
      <c r="O9" s="19">
        <f>SQRT((O$12-$Q9)^2 + (O$13-$R9)^2)</f>
        <v>76.967525619575426</v>
      </c>
      <c r="P9" s="17">
        <f>SQRT((P$12-$Q9)^2 + (P$13-$R9)^2)</f>
        <v>110.3177229641729</v>
      </c>
      <c r="Q9">
        <v>17</v>
      </c>
      <c r="R9">
        <v>10</v>
      </c>
    </row>
    <row r="10" spans="2:18" x14ac:dyDescent="0.3">
      <c r="B10">
        <v>5</v>
      </c>
      <c r="C10" s="4">
        <v>17</v>
      </c>
      <c r="D10" s="5">
        <v>10</v>
      </c>
      <c r="H10">
        <v>6</v>
      </c>
      <c r="I10" s="18">
        <f>SQRT((I$12-$Q10)^2 + (I$13-$R10)^2)</f>
        <v>25.942243542145693</v>
      </c>
      <c r="J10" s="19">
        <f>SQRT((J$12-$Q10)^2 + (J$13-$R10)^2)</f>
        <v>51.088159097779204</v>
      </c>
      <c r="K10" s="19">
        <f>SQRT((K$12-$Q10)^2 + (K$13-$R10)^2)</f>
        <v>80.993826925266347</v>
      </c>
      <c r="L10" s="19">
        <f>SQRT((L$12-$Q10)^2 + (L$13-$R10)^2)</f>
        <v>53.758720222862451</v>
      </c>
      <c r="M10" s="19">
        <f>SQRT((M$12-$Q10)^2 + (M$13-$R10)^2)</f>
        <v>78.721026416072604</v>
      </c>
      <c r="N10" s="19">
        <f>SQRT((N$12-$Q10)^2 + (N$13-$R10)^2)</f>
        <v>76.967525619575426</v>
      </c>
      <c r="O10" s="9">
        <f>SQRT((O$12-$Q10)^2 + (O$13-$R10)^2)</f>
        <v>0</v>
      </c>
      <c r="P10" s="17">
        <f>SQRT((P$12-$Q10)^2 + (P$13-$R10)^2)</f>
        <v>45.891175622335062</v>
      </c>
      <c r="Q10">
        <v>87</v>
      </c>
      <c r="R10">
        <v>42</v>
      </c>
    </row>
    <row r="11" spans="2:18" ht="15" thickBot="1" x14ac:dyDescent="0.35">
      <c r="B11">
        <v>6</v>
      </c>
      <c r="C11" s="4">
        <v>87</v>
      </c>
      <c r="D11" s="5">
        <v>42</v>
      </c>
      <c r="H11">
        <v>7</v>
      </c>
      <c r="I11" s="15">
        <f>SQRT((I$12-$Q11)^2 + (I$13-$R11)^2)</f>
        <v>71.168813394632338</v>
      </c>
      <c r="J11" s="16">
        <f>SQRT((J$12-$Q11)^2 + (J$13-$R11)^2)</f>
        <v>42.426406871192853</v>
      </c>
      <c r="K11" s="16">
        <f>SQRT((K$12-$Q11)^2 + (K$13-$R11)^2)</f>
        <v>112.04463396343441</v>
      </c>
      <c r="L11" s="16">
        <f>SQRT((L$12-$Q11)^2 + (L$13-$R11)^2)</f>
        <v>26.683328128252668</v>
      </c>
      <c r="M11" s="16">
        <f>SQRT((M$12-$Q11)^2 + (M$13-$R11)^2)</f>
        <v>112.43220179290273</v>
      </c>
      <c r="N11" s="16">
        <f>SQRT((N$12-$Q11)^2 + (N$13-$R11)^2)</f>
        <v>110.3177229641729</v>
      </c>
      <c r="O11" s="16">
        <f>SQRT((O$12-$Q11)^2 + (O$13-$R11)^2)</f>
        <v>45.891175622335062</v>
      </c>
      <c r="P11" s="7">
        <f>SQRT((P$12-$Q11)^2 + (P$13-$R11)^2)</f>
        <v>0</v>
      </c>
      <c r="Q11">
        <v>96</v>
      </c>
      <c r="R11">
        <v>87</v>
      </c>
    </row>
    <row r="12" spans="2:18" ht="15" thickBot="1" x14ac:dyDescent="0.35">
      <c r="B12">
        <v>7</v>
      </c>
      <c r="C12" s="6">
        <v>96</v>
      </c>
      <c r="D12" s="7">
        <v>87</v>
      </c>
      <c r="H12" t="s">
        <v>2</v>
      </c>
      <c r="I12">
        <v>75</v>
      </c>
      <c r="J12">
        <v>54</v>
      </c>
      <c r="K12">
        <v>11</v>
      </c>
      <c r="L12">
        <v>70</v>
      </c>
      <c r="M12">
        <v>16</v>
      </c>
      <c r="N12">
        <v>17</v>
      </c>
      <c r="O12">
        <v>87</v>
      </c>
      <c r="P12">
        <v>96</v>
      </c>
    </row>
    <row r="13" spans="2:18" x14ac:dyDescent="0.3">
      <c r="H13" t="s">
        <v>3</v>
      </c>
      <c r="I13">
        <v>19</v>
      </c>
      <c r="J13">
        <v>81</v>
      </c>
      <c r="K13">
        <v>14</v>
      </c>
      <c r="L13">
        <v>93</v>
      </c>
      <c r="M13">
        <v>8</v>
      </c>
      <c r="N13">
        <v>10</v>
      </c>
      <c r="O13">
        <v>42</v>
      </c>
      <c r="P13">
        <v>87</v>
      </c>
    </row>
    <row r="14" spans="2:18" ht="15" thickBot="1" x14ac:dyDescent="0.35">
      <c r="B14" t="s">
        <v>1</v>
      </c>
      <c r="C14" s="12" t="s">
        <v>5</v>
      </c>
      <c r="D14" t="s">
        <v>12</v>
      </c>
      <c r="E14" t="s">
        <v>6</v>
      </c>
      <c r="F14" t="s">
        <v>7</v>
      </c>
    </row>
    <row r="15" spans="2:18" x14ac:dyDescent="0.3">
      <c r="B15">
        <v>0</v>
      </c>
      <c r="C15" s="23" t="s">
        <v>13</v>
      </c>
      <c r="D15" s="22" t="s">
        <v>13</v>
      </c>
      <c r="E15" s="24">
        <v>0</v>
      </c>
      <c r="F15" s="25">
        <v>480</v>
      </c>
      <c r="H15" s="1" t="s">
        <v>8</v>
      </c>
    </row>
    <row r="16" spans="2:18" ht="15" thickBot="1" x14ac:dyDescent="0.35">
      <c r="B16">
        <v>1</v>
      </c>
      <c r="C16" s="4">
        <v>28</v>
      </c>
      <c r="D16" s="9">
        <f>C16+15</f>
        <v>43</v>
      </c>
      <c r="E16" s="9">
        <v>80</v>
      </c>
      <c r="F16" s="5">
        <v>126</v>
      </c>
      <c r="I16">
        <v>0</v>
      </c>
      <c r="J16">
        <v>1</v>
      </c>
      <c r="K16">
        <v>2</v>
      </c>
      <c r="L16">
        <v>3</v>
      </c>
      <c r="M16">
        <v>4</v>
      </c>
      <c r="N16">
        <v>5</v>
      </c>
      <c r="O16">
        <v>6</v>
      </c>
      <c r="P16">
        <v>7</v>
      </c>
    </row>
    <row r="17" spans="2:16" x14ac:dyDescent="0.3">
      <c r="B17">
        <v>2</v>
      </c>
      <c r="C17" s="4">
        <v>39</v>
      </c>
      <c r="D17" s="9">
        <f t="shared" ref="D17:D22" si="0">C17+15</f>
        <v>54</v>
      </c>
      <c r="E17" s="9">
        <v>19</v>
      </c>
      <c r="F17" s="5">
        <v>271</v>
      </c>
      <c r="H17">
        <v>0</v>
      </c>
      <c r="I17" s="2">
        <f>ROUNDDOWN(I4,0)</f>
        <v>0</v>
      </c>
      <c r="J17" s="8">
        <f t="shared" ref="J17:P17" si="1">ROUNDDOWN(J4,0)</f>
        <v>65</v>
      </c>
      <c r="K17" s="8">
        <f t="shared" si="1"/>
        <v>64</v>
      </c>
      <c r="L17" s="8">
        <f t="shared" si="1"/>
        <v>74</v>
      </c>
      <c r="M17" s="8">
        <f t="shared" si="1"/>
        <v>60</v>
      </c>
      <c r="N17" s="8">
        <f t="shared" si="1"/>
        <v>58</v>
      </c>
      <c r="O17" s="8">
        <f t="shared" si="1"/>
        <v>25</v>
      </c>
      <c r="P17" s="3">
        <f t="shared" si="1"/>
        <v>71</v>
      </c>
    </row>
    <row r="18" spans="2:16" x14ac:dyDescent="0.3">
      <c r="B18">
        <v>3</v>
      </c>
      <c r="C18" s="4">
        <v>85</v>
      </c>
      <c r="D18" s="9">
        <f t="shared" si="0"/>
        <v>100</v>
      </c>
      <c r="E18" s="9">
        <v>94</v>
      </c>
      <c r="F18" s="5">
        <v>207</v>
      </c>
      <c r="H18">
        <v>1</v>
      </c>
      <c r="I18" s="4">
        <f t="shared" ref="I18:P24" si="2">ROUNDDOWN(I5,0)</f>
        <v>65</v>
      </c>
      <c r="J18" s="9">
        <f t="shared" si="2"/>
        <v>0</v>
      </c>
      <c r="K18" s="9">
        <f t="shared" si="2"/>
        <v>79</v>
      </c>
      <c r="L18" s="9">
        <f t="shared" si="2"/>
        <v>20</v>
      </c>
      <c r="M18" s="9">
        <f t="shared" si="2"/>
        <v>82</v>
      </c>
      <c r="N18" s="9">
        <f t="shared" si="2"/>
        <v>80</v>
      </c>
      <c r="O18" s="9">
        <f t="shared" si="2"/>
        <v>51</v>
      </c>
      <c r="P18" s="5">
        <f t="shared" si="2"/>
        <v>42</v>
      </c>
    </row>
    <row r="19" spans="2:16" x14ac:dyDescent="0.3">
      <c r="B19">
        <v>4</v>
      </c>
      <c r="C19" s="4">
        <v>44</v>
      </c>
      <c r="D19" s="9">
        <f t="shared" si="0"/>
        <v>59</v>
      </c>
      <c r="E19" s="9">
        <v>62</v>
      </c>
      <c r="F19" s="5">
        <v>435</v>
      </c>
      <c r="H19">
        <v>2</v>
      </c>
      <c r="I19" s="4">
        <f t="shared" si="2"/>
        <v>64</v>
      </c>
      <c r="J19" s="9">
        <f t="shared" si="2"/>
        <v>79</v>
      </c>
      <c r="K19" s="9">
        <f t="shared" si="2"/>
        <v>0</v>
      </c>
      <c r="L19" s="9">
        <f t="shared" si="2"/>
        <v>98</v>
      </c>
      <c r="M19" s="9">
        <f t="shared" si="2"/>
        <v>7</v>
      </c>
      <c r="N19" s="9">
        <f t="shared" si="2"/>
        <v>7</v>
      </c>
      <c r="O19" s="9">
        <f t="shared" si="2"/>
        <v>80</v>
      </c>
      <c r="P19" s="5">
        <f t="shared" si="2"/>
        <v>112</v>
      </c>
    </row>
    <row r="20" spans="2:16" x14ac:dyDescent="0.3">
      <c r="B20">
        <v>5</v>
      </c>
      <c r="C20" s="4">
        <v>26</v>
      </c>
      <c r="D20" s="9">
        <f t="shared" si="0"/>
        <v>41</v>
      </c>
      <c r="E20" s="9">
        <v>32</v>
      </c>
      <c r="F20" s="5">
        <v>275</v>
      </c>
      <c r="H20">
        <v>3</v>
      </c>
      <c r="I20" s="4">
        <f t="shared" si="2"/>
        <v>74</v>
      </c>
      <c r="J20" s="9">
        <f t="shared" si="2"/>
        <v>20</v>
      </c>
      <c r="K20" s="9">
        <f t="shared" si="2"/>
        <v>98</v>
      </c>
      <c r="L20" s="9">
        <f t="shared" si="2"/>
        <v>0</v>
      </c>
      <c r="M20" s="9">
        <f t="shared" si="2"/>
        <v>100</v>
      </c>
      <c r="N20" s="9">
        <f t="shared" si="2"/>
        <v>98</v>
      </c>
      <c r="O20" s="9">
        <f t="shared" si="2"/>
        <v>53</v>
      </c>
      <c r="P20" s="5">
        <f t="shared" si="2"/>
        <v>26</v>
      </c>
    </row>
    <row r="21" spans="2:16" x14ac:dyDescent="0.3">
      <c r="B21">
        <v>6</v>
      </c>
      <c r="C21" s="4">
        <v>15</v>
      </c>
      <c r="D21" s="9">
        <f t="shared" si="0"/>
        <v>30</v>
      </c>
      <c r="E21" s="9">
        <v>21</v>
      </c>
      <c r="F21" s="5">
        <v>178</v>
      </c>
      <c r="H21">
        <v>4</v>
      </c>
      <c r="I21" s="4">
        <f t="shared" si="2"/>
        <v>60</v>
      </c>
      <c r="J21" s="9">
        <f t="shared" si="2"/>
        <v>82</v>
      </c>
      <c r="K21" s="9">
        <f t="shared" si="2"/>
        <v>7</v>
      </c>
      <c r="L21" s="9">
        <f t="shared" si="2"/>
        <v>100</v>
      </c>
      <c r="M21" s="9">
        <f t="shared" si="2"/>
        <v>0</v>
      </c>
      <c r="N21" s="9">
        <f t="shared" si="2"/>
        <v>2</v>
      </c>
      <c r="O21" s="9">
        <f t="shared" si="2"/>
        <v>78</v>
      </c>
      <c r="P21" s="5">
        <f t="shared" si="2"/>
        <v>112</v>
      </c>
    </row>
    <row r="22" spans="2:16" ht="15" thickBot="1" x14ac:dyDescent="0.35">
      <c r="B22">
        <v>7</v>
      </c>
      <c r="C22" s="6">
        <v>75</v>
      </c>
      <c r="D22" s="10">
        <f t="shared" si="0"/>
        <v>90</v>
      </c>
      <c r="E22" s="10">
        <v>83</v>
      </c>
      <c r="F22" s="7">
        <v>423</v>
      </c>
      <c r="H22">
        <v>5</v>
      </c>
      <c r="I22" s="4">
        <f t="shared" si="2"/>
        <v>58</v>
      </c>
      <c r="J22" s="9">
        <f t="shared" si="2"/>
        <v>80</v>
      </c>
      <c r="K22" s="9">
        <f t="shared" si="2"/>
        <v>7</v>
      </c>
      <c r="L22" s="9">
        <f t="shared" si="2"/>
        <v>98</v>
      </c>
      <c r="M22" s="9">
        <f t="shared" si="2"/>
        <v>2</v>
      </c>
      <c r="N22" s="9">
        <f t="shared" si="2"/>
        <v>0</v>
      </c>
      <c r="O22" s="9">
        <f t="shared" si="2"/>
        <v>76</v>
      </c>
      <c r="P22" s="5">
        <f t="shared" si="2"/>
        <v>110</v>
      </c>
    </row>
    <row r="23" spans="2:16" x14ac:dyDescent="0.3">
      <c r="B23" t="s">
        <v>10</v>
      </c>
      <c r="C23">
        <f>SUM(C15:C22)</f>
        <v>312</v>
      </c>
      <c r="D23" s="11">
        <f>SUM(D15:D22)</f>
        <v>417</v>
      </c>
      <c r="H23">
        <v>6</v>
      </c>
      <c r="I23" s="4">
        <f t="shared" si="2"/>
        <v>25</v>
      </c>
      <c r="J23" s="9">
        <f t="shared" si="2"/>
        <v>51</v>
      </c>
      <c r="K23" s="9">
        <f t="shared" si="2"/>
        <v>80</v>
      </c>
      <c r="L23" s="9">
        <f t="shared" si="2"/>
        <v>53</v>
      </c>
      <c r="M23" s="9">
        <f t="shared" si="2"/>
        <v>78</v>
      </c>
      <c r="N23" s="9">
        <f t="shared" si="2"/>
        <v>76</v>
      </c>
      <c r="O23" s="9">
        <f t="shared" si="2"/>
        <v>0</v>
      </c>
      <c r="P23" s="5">
        <f t="shared" si="2"/>
        <v>45</v>
      </c>
    </row>
    <row r="24" spans="2:16" ht="15" thickBot="1" x14ac:dyDescent="0.35">
      <c r="H24">
        <v>7</v>
      </c>
      <c r="I24" s="6">
        <f t="shared" si="2"/>
        <v>71</v>
      </c>
      <c r="J24" s="10">
        <f t="shared" si="2"/>
        <v>42</v>
      </c>
      <c r="K24" s="10">
        <f t="shared" si="2"/>
        <v>112</v>
      </c>
      <c r="L24" s="10">
        <f t="shared" si="2"/>
        <v>26</v>
      </c>
      <c r="M24" s="10">
        <f t="shared" si="2"/>
        <v>112</v>
      </c>
      <c r="N24" s="10">
        <f t="shared" si="2"/>
        <v>110</v>
      </c>
      <c r="O24" s="10">
        <f t="shared" si="2"/>
        <v>45</v>
      </c>
      <c r="P24" s="7">
        <f t="shared" si="2"/>
        <v>0</v>
      </c>
    </row>
    <row r="25" spans="2:16" ht="15" thickBot="1" x14ac:dyDescent="0.35">
      <c r="C25" s="13" t="s">
        <v>9</v>
      </c>
      <c r="D25" s="14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585885EB71F4DB0D9FB45E4A66F2C" ma:contentTypeVersion="3" ma:contentTypeDescription="Opprett et nytt dokument." ma:contentTypeScope="" ma:versionID="f382b6a2fd235f283bf5cecf5e56262d">
  <xsd:schema xmlns:xsd="http://www.w3.org/2001/XMLSchema" xmlns:xs="http://www.w3.org/2001/XMLSchema" xmlns:p="http://schemas.microsoft.com/office/2006/metadata/properties" xmlns:ns2="e2dd498c-680f-4fa4-b475-961296ca3ef1" targetNamespace="http://schemas.microsoft.com/office/2006/metadata/properties" ma:root="true" ma:fieldsID="c7bc32ed49db3fd258cd61b46b16d772" ns2:_="">
    <xsd:import namespace="e2dd498c-680f-4fa4-b475-961296ca3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d498c-680f-4fa4-b475-961296ca3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837F5D-C8E3-4F3E-AAC3-1011EAE3F353}"/>
</file>

<file path=customXml/itemProps2.xml><?xml version="1.0" encoding="utf-8"?>
<ds:datastoreItem xmlns:ds="http://schemas.openxmlformats.org/officeDocument/2006/customXml" ds:itemID="{0F96E627-1A0E-4B50-9787-F1912CF5F9AF}"/>
</file>

<file path=customXml/itemProps3.xml><?xml version="1.0" encoding="utf-8"?>
<ds:datastoreItem xmlns:ds="http://schemas.openxmlformats.org/officeDocument/2006/customXml" ds:itemID="{DA5B7C48-ADFC-47BA-AD6C-31A47CCA03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Langelo</dc:creator>
  <cp:lastModifiedBy>Erik Langelo</cp:lastModifiedBy>
  <dcterms:created xsi:type="dcterms:W3CDTF">2015-06-05T18:17:20Z</dcterms:created>
  <dcterms:modified xsi:type="dcterms:W3CDTF">2026-03-12T10:50:09Z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59125d-3421-490c-8c49-713131ff88a1_Enabled">
    <vt:lpwstr>true</vt:lpwstr>
  </property>
  <property fmtid="{D5CDD505-2E9C-101B-9397-08002B2CF9AE}" pid="3" name="MSIP_Label_ee59125d-3421-490c-8c49-713131ff88a1_SetDate">
    <vt:lpwstr>2026-03-12T09:29:39Z</vt:lpwstr>
  </property>
  <property fmtid="{D5CDD505-2E9C-101B-9397-08002B2CF9AE}" pid="4" name="MSIP_Label_ee59125d-3421-490c-8c49-713131ff88a1_Method">
    <vt:lpwstr>Standard</vt:lpwstr>
  </property>
  <property fmtid="{D5CDD505-2E9C-101B-9397-08002B2CF9AE}" pid="5" name="MSIP_Label_ee59125d-3421-490c-8c49-713131ff88a1_Name">
    <vt:lpwstr>Yellow</vt:lpwstr>
  </property>
  <property fmtid="{D5CDD505-2E9C-101B-9397-08002B2CF9AE}" pid="6" name="MSIP_Label_ee59125d-3421-490c-8c49-713131ff88a1_SiteId">
    <vt:lpwstr>938c1eb0-9d08-484b-92b9-53f583bd08fb</vt:lpwstr>
  </property>
  <property fmtid="{D5CDD505-2E9C-101B-9397-08002B2CF9AE}" pid="7" name="MSIP_Label_ee59125d-3421-490c-8c49-713131ff88a1_ActionId">
    <vt:lpwstr>87c07fb7-b2b3-474a-987d-ab9bd03078ac</vt:lpwstr>
  </property>
  <property fmtid="{D5CDD505-2E9C-101B-9397-08002B2CF9AE}" pid="8" name="MSIP_Label_ee59125d-3421-490c-8c49-713131ff88a1_ContentBits">
    <vt:lpwstr>0</vt:lpwstr>
  </property>
  <property fmtid="{D5CDD505-2E9C-101B-9397-08002B2CF9AE}" pid="9" name="MSIP_Label_ee59125d-3421-490c-8c49-713131ff88a1_Tag">
    <vt:lpwstr>10, 3, 0, 1</vt:lpwstr>
  </property>
  <property fmtid="{D5CDD505-2E9C-101B-9397-08002B2CF9AE}" pid="10" name="ContentTypeId">
    <vt:lpwstr>0x010100EEC585885EB71F4DB0D9FB45E4A66F2C</vt:lpwstr>
  </property>
</Properties>
</file>